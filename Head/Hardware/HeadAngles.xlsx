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4355" windowHeight="118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5" i="1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14"/>
  <c r="D12"/>
  <c r="G12" s="1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G34" s="1"/>
  <c r="C34"/>
  <c r="B35"/>
  <c r="C35"/>
  <c r="B36"/>
  <c r="G36" s="1"/>
  <c r="C36"/>
  <c r="B37"/>
  <c r="G37" s="1"/>
  <c r="C37"/>
  <c r="F37" s="1"/>
  <c r="B38"/>
  <c r="G38" s="1"/>
  <c r="C38"/>
  <c r="B39"/>
  <c r="C39"/>
  <c r="B40"/>
  <c r="C40"/>
  <c r="B41"/>
  <c r="G41" s="1"/>
  <c r="C41"/>
  <c r="B42"/>
  <c r="C42"/>
  <c r="B43"/>
  <c r="C43"/>
  <c r="B44"/>
  <c r="C44"/>
  <c r="B45"/>
  <c r="C45"/>
  <c r="B46"/>
  <c r="C46"/>
  <c r="B14"/>
  <c r="C14"/>
  <c r="C12"/>
  <c r="J5" s="1"/>
  <c r="B12"/>
  <c r="I5" s="1"/>
  <c r="J2"/>
  <c r="I2"/>
  <c r="J6"/>
  <c r="I6"/>
  <c r="J3"/>
  <c r="I3"/>
  <c r="D6"/>
  <c r="D4"/>
  <c r="G43" l="1"/>
  <c r="J43" s="1"/>
  <c r="G31"/>
  <c r="I31" s="1"/>
  <c r="G32"/>
  <c r="I32" s="1"/>
  <c r="G39"/>
  <c r="H39" s="1"/>
  <c r="G45"/>
  <c r="J45" s="1"/>
  <c r="G33"/>
  <c r="I33" s="1"/>
  <c r="F12"/>
  <c r="I12" s="1"/>
  <c r="E15"/>
  <c r="F33"/>
  <c r="E27"/>
  <c r="F27"/>
  <c r="F45"/>
  <c r="E22"/>
  <c r="J34"/>
  <c r="J37"/>
  <c r="I37"/>
  <c r="H38"/>
  <c r="J38"/>
  <c r="I38"/>
  <c r="F34"/>
  <c r="I34" s="1"/>
  <c r="F22"/>
  <c r="F16"/>
  <c r="E29"/>
  <c r="E23"/>
  <c r="F41"/>
  <c r="I41" s="1"/>
  <c r="F23"/>
  <c r="E30"/>
  <c r="E18"/>
  <c r="F36"/>
  <c r="I36" s="1"/>
  <c r="E25"/>
  <c r="E26"/>
  <c r="J41"/>
  <c r="J36"/>
  <c r="F39"/>
  <c r="F42"/>
  <c r="F24"/>
  <c r="F43"/>
  <c r="F31"/>
  <c r="F25"/>
  <c r="F38"/>
  <c r="F32"/>
  <c r="F20"/>
  <c r="G46"/>
  <c r="G35"/>
  <c r="G30"/>
  <c r="G29"/>
  <c r="G28"/>
  <c r="G27"/>
  <c r="G26"/>
  <c r="G25"/>
  <c r="G24"/>
  <c r="G23"/>
  <c r="G22"/>
  <c r="G21"/>
  <c r="G20"/>
  <c r="G19"/>
  <c r="G18"/>
  <c r="G17"/>
  <c r="G16"/>
  <c r="G15"/>
  <c r="G44"/>
  <c r="G40"/>
  <c r="E39"/>
  <c r="E38"/>
  <c r="E37"/>
  <c r="H37" s="1"/>
  <c r="E36"/>
  <c r="H36" s="1"/>
  <c r="E34"/>
  <c r="H34" s="1"/>
  <c r="E33"/>
  <c r="E32"/>
  <c r="E31"/>
  <c r="G42"/>
  <c r="E41"/>
  <c r="H41" s="1"/>
  <c r="E43"/>
  <c r="E45"/>
  <c r="E14"/>
  <c r="H12"/>
  <c r="J12"/>
  <c r="E12"/>
  <c r="K41" l="1"/>
  <c r="M41" s="1"/>
  <c r="J33"/>
  <c r="L33" s="1"/>
  <c r="L34"/>
  <c r="K38"/>
  <c r="K34"/>
  <c r="J31"/>
  <c r="L31" s="1"/>
  <c r="J39"/>
  <c r="L39" s="1"/>
  <c r="H43"/>
  <c r="K43" s="1"/>
  <c r="H45"/>
  <c r="K45" s="1"/>
  <c r="H31"/>
  <c r="I39"/>
  <c r="L41"/>
  <c r="I45"/>
  <c r="L45" s="1"/>
  <c r="K36"/>
  <c r="H33"/>
  <c r="J32"/>
  <c r="L32" s="1"/>
  <c r="I43"/>
  <c r="L43" s="1"/>
  <c r="H32"/>
  <c r="J46"/>
  <c r="J18"/>
  <c r="H18"/>
  <c r="L37"/>
  <c r="J20"/>
  <c r="I20"/>
  <c r="H20"/>
  <c r="J29"/>
  <c r="H29"/>
  <c r="E46"/>
  <c r="H46" s="1"/>
  <c r="K37"/>
  <c r="M37" s="1"/>
  <c r="J21"/>
  <c r="J19"/>
  <c r="J16"/>
  <c r="I16"/>
  <c r="J26"/>
  <c r="H26"/>
  <c r="E20"/>
  <c r="F35"/>
  <c r="I35" s="1"/>
  <c r="E21"/>
  <c r="H21" s="1"/>
  <c r="E40"/>
  <c r="H40" s="1"/>
  <c r="J42"/>
  <c r="I42"/>
  <c r="E19"/>
  <c r="H19" s="1"/>
  <c r="E16"/>
  <c r="H16" s="1"/>
  <c r="J35"/>
  <c r="J28"/>
  <c r="H28"/>
  <c r="E35"/>
  <c r="H35" s="1"/>
  <c r="F30"/>
  <c r="I30" s="1"/>
  <c r="E17"/>
  <c r="H17" s="1"/>
  <c r="F46"/>
  <c r="I46" s="1"/>
  <c r="J30"/>
  <c r="H30"/>
  <c r="J27"/>
  <c r="H27"/>
  <c r="I27"/>
  <c r="J25"/>
  <c r="I25"/>
  <c r="H25"/>
  <c r="J24"/>
  <c r="I24"/>
  <c r="J23"/>
  <c r="H23"/>
  <c r="I23"/>
  <c r="L36"/>
  <c r="F18"/>
  <c r="I18" s="1"/>
  <c r="L18" s="1"/>
  <c r="F44"/>
  <c r="I44" s="1"/>
  <c r="E28"/>
  <c r="F17"/>
  <c r="I17" s="1"/>
  <c r="J17"/>
  <c r="J15"/>
  <c r="H15"/>
  <c r="J44"/>
  <c r="J40"/>
  <c r="J22"/>
  <c r="I22"/>
  <c r="H22"/>
  <c r="F19"/>
  <c r="I19" s="1"/>
  <c r="L38"/>
  <c r="F21"/>
  <c r="I21" s="1"/>
  <c r="E44"/>
  <c r="H44" s="1"/>
  <c r="F29"/>
  <c r="I29" s="1"/>
  <c r="F15"/>
  <c r="I15" s="1"/>
  <c r="F40"/>
  <c r="I40" s="1"/>
  <c r="F26"/>
  <c r="I26" s="1"/>
  <c r="E24"/>
  <c r="H24" s="1"/>
  <c r="K24" s="1"/>
  <c r="E42"/>
  <c r="H42" s="1"/>
  <c r="F28"/>
  <c r="I28" s="1"/>
  <c r="L28" s="1"/>
  <c r="G14"/>
  <c r="J14" s="1"/>
  <c r="F14"/>
  <c r="L12"/>
  <c r="J4" s="1"/>
  <c r="K12"/>
  <c r="K16" l="1"/>
  <c r="L17"/>
  <c r="L26"/>
  <c r="M45"/>
  <c r="M36"/>
  <c r="K33"/>
  <c r="M33" s="1"/>
  <c r="M34"/>
  <c r="M43"/>
  <c r="K32"/>
  <c r="M32" s="1"/>
  <c r="M38"/>
  <c r="K31"/>
  <c r="M31" s="1"/>
  <c r="L30"/>
  <c r="L27"/>
  <c r="K39"/>
  <c r="M39" s="1"/>
  <c r="K28"/>
  <c r="M28" s="1"/>
  <c r="K21"/>
  <c r="L35"/>
  <c r="M35" s="1"/>
  <c r="L29"/>
  <c r="L15"/>
  <c r="L46"/>
  <c r="K35"/>
  <c r="K44"/>
  <c r="K40"/>
  <c r="K17"/>
  <c r="K23"/>
  <c r="L40"/>
  <c r="L44"/>
  <c r="K25"/>
  <c r="L20"/>
  <c r="K42"/>
  <c r="L24"/>
  <c r="M24" s="1"/>
  <c r="L16"/>
  <c r="K29"/>
  <c r="K46"/>
  <c r="L19"/>
  <c r="K22"/>
  <c r="L21"/>
  <c r="K19"/>
  <c r="K30"/>
  <c r="L42"/>
  <c r="L22"/>
  <c r="K26"/>
  <c r="K18"/>
  <c r="M18" s="1"/>
  <c r="L25"/>
  <c r="K20"/>
  <c r="L23"/>
  <c r="K15"/>
  <c r="K27"/>
  <c r="H14"/>
  <c r="K14" s="1"/>
  <c r="I14"/>
  <c r="L14" s="1"/>
  <c r="M12"/>
  <c r="I4"/>
  <c r="M16" l="1"/>
  <c r="M17"/>
  <c r="M40"/>
  <c r="M14"/>
  <c r="M26"/>
  <c r="M44"/>
  <c r="M46"/>
  <c r="M15"/>
  <c r="M29"/>
  <c r="M21"/>
  <c r="M30"/>
  <c r="M20"/>
  <c r="M23"/>
  <c r="M27"/>
  <c r="M22"/>
  <c r="M42"/>
  <c r="M19"/>
  <c r="M25"/>
</calcChain>
</file>

<file path=xl/sharedStrings.xml><?xml version="1.0" encoding="utf-8"?>
<sst xmlns="http://schemas.openxmlformats.org/spreadsheetml/2006/main" count="27" uniqueCount="24">
  <si>
    <t>Center pivot</t>
  </si>
  <si>
    <t>X</t>
  </si>
  <si>
    <t>Y</t>
  </si>
  <si>
    <t>Servo pivot</t>
  </si>
  <si>
    <t>Base link</t>
  </si>
  <si>
    <t>Arm length</t>
  </si>
  <si>
    <t>Link length</t>
  </si>
  <si>
    <t>Separation</t>
  </si>
  <si>
    <t>Distance</t>
  </si>
  <si>
    <t>x1,y1</t>
  </si>
  <si>
    <t>r1</t>
  </si>
  <si>
    <t>r2</t>
  </si>
  <si>
    <t>dx</t>
  </si>
  <si>
    <t>dy</t>
  </si>
  <si>
    <t>a</t>
  </si>
  <si>
    <t>h</t>
  </si>
  <si>
    <t>Angle</t>
  </si>
  <si>
    <t>Arm X</t>
  </si>
  <si>
    <t>Arm Y</t>
  </si>
  <si>
    <t>px</t>
  </si>
  <si>
    <t>py</t>
  </si>
  <si>
    <t>Int X</t>
  </si>
  <si>
    <t>Int Y</t>
  </si>
  <si>
    <t>Head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</si>
</sst>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/>
      <c:scatterChart>
        <c:scatterStyle val="lineMarker"/>
        <c:ser>
          <c:idx val="0"/>
          <c:order val="0"/>
          <c:xVal>
            <c:numRef>
              <c:f>Sheet1!$I$2:$I$6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-17.469311307531704</c:v>
                </c:pt>
                <c:pt idx="3">
                  <c:v>25.337087188502871</c:v>
                </c:pt>
                <c:pt idx="4">
                  <c:v>39.409999999999997</c:v>
                </c:pt>
              </c:numCache>
            </c:numRef>
          </c:xVal>
          <c:yVal>
            <c:numRef>
              <c:f>Sheet1!$J$2:$J$6</c:f>
              <c:numCache>
                <c:formatCode>0.00</c:formatCode>
                <c:ptCount val="5"/>
                <c:pt idx="0">
                  <c:v>38.5</c:v>
                </c:pt>
                <c:pt idx="1">
                  <c:v>0</c:v>
                </c:pt>
                <c:pt idx="2">
                  <c:v>34.308499857040452</c:v>
                </c:pt>
                <c:pt idx="3">
                  <c:v>53.715000000000003</c:v>
                </c:pt>
                <c:pt idx="4">
                  <c:v>61.84</c:v>
                </c:pt>
              </c:numCache>
            </c:numRef>
          </c:yVal>
        </c:ser>
        <c:axId val="144736640"/>
        <c:axId val="144542336"/>
      </c:scatterChart>
      <c:valAx>
        <c:axId val="144736640"/>
        <c:scaling>
          <c:orientation val="minMax"/>
          <c:max val="50"/>
          <c:min val="-20"/>
        </c:scaling>
        <c:axPos val="b"/>
        <c:numFmt formatCode="0.00" sourceLinked="1"/>
        <c:tickLblPos val="nextTo"/>
        <c:crossAx val="144542336"/>
        <c:crosses val="autoZero"/>
        <c:crossBetween val="midCat"/>
      </c:valAx>
      <c:valAx>
        <c:axId val="144542336"/>
        <c:scaling>
          <c:orientation val="minMax"/>
          <c:max val="70"/>
          <c:min val="0"/>
        </c:scaling>
        <c:axPos val="l"/>
        <c:majorGridlines/>
        <c:numFmt formatCode="0.00" sourceLinked="1"/>
        <c:tickLblPos val="nextTo"/>
        <c:crossAx val="14473664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/>
      <c:scatterChart>
        <c:scatterStyle val="smoothMarker"/>
        <c:ser>
          <c:idx val="0"/>
          <c:order val="0"/>
          <c:xVal>
            <c:numRef>
              <c:f>Sheet1!$A$14:$A$46</c:f>
              <c:numCache>
                <c:formatCode>General</c:formatCode>
                <c:ptCount val="33"/>
                <c:pt idx="0" formatCode="0.00">
                  <c:v>80</c:v>
                </c:pt>
                <c:pt idx="1">
                  <c:v>75</c:v>
                </c:pt>
                <c:pt idx="2" formatCode="0.00">
                  <c:v>70</c:v>
                </c:pt>
                <c:pt idx="3" formatCode="0.00">
                  <c:v>65</c:v>
                </c:pt>
                <c:pt idx="4">
                  <c:v>60</c:v>
                </c:pt>
                <c:pt idx="5" formatCode="0.00">
                  <c:v>55</c:v>
                </c:pt>
                <c:pt idx="6" formatCode="0.00">
                  <c:v>50</c:v>
                </c:pt>
                <c:pt idx="7">
                  <c:v>45</c:v>
                </c:pt>
                <c:pt idx="8" formatCode="0.00">
                  <c:v>40</c:v>
                </c:pt>
                <c:pt idx="9" formatCode="0.00">
                  <c:v>35</c:v>
                </c:pt>
                <c:pt idx="10">
                  <c:v>30</c:v>
                </c:pt>
                <c:pt idx="11" formatCode="0.00">
                  <c:v>25</c:v>
                </c:pt>
                <c:pt idx="12" formatCode="0.00">
                  <c:v>20</c:v>
                </c:pt>
                <c:pt idx="13">
                  <c:v>15</c:v>
                </c:pt>
                <c:pt idx="14" formatCode="0.00">
                  <c:v>10</c:v>
                </c:pt>
                <c:pt idx="15" formatCode="0.00">
                  <c:v>5</c:v>
                </c:pt>
                <c:pt idx="16">
                  <c:v>0</c:v>
                </c:pt>
                <c:pt idx="17" formatCode="0.00">
                  <c:v>-5</c:v>
                </c:pt>
                <c:pt idx="18" formatCode="0.00">
                  <c:v>-10</c:v>
                </c:pt>
                <c:pt idx="19">
                  <c:v>-15</c:v>
                </c:pt>
                <c:pt idx="20" formatCode="0.00">
                  <c:v>-20</c:v>
                </c:pt>
                <c:pt idx="21" formatCode="0.00">
                  <c:v>-25</c:v>
                </c:pt>
                <c:pt idx="22">
                  <c:v>-30</c:v>
                </c:pt>
                <c:pt idx="23" formatCode="0.00">
                  <c:v>-35</c:v>
                </c:pt>
                <c:pt idx="24" formatCode="0.00">
                  <c:v>-40</c:v>
                </c:pt>
                <c:pt idx="25">
                  <c:v>-45</c:v>
                </c:pt>
                <c:pt idx="26" formatCode="0.00">
                  <c:v>-50</c:v>
                </c:pt>
                <c:pt idx="27" formatCode="0.00">
                  <c:v>-55</c:v>
                </c:pt>
                <c:pt idx="28">
                  <c:v>-60</c:v>
                </c:pt>
                <c:pt idx="29" formatCode="0.00">
                  <c:v>-65</c:v>
                </c:pt>
                <c:pt idx="30" formatCode="0.00">
                  <c:v>-70</c:v>
                </c:pt>
                <c:pt idx="31">
                  <c:v>-75</c:v>
                </c:pt>
                <c:pt idx="32" formatCode="0.00">
                  <c:v>-80</c:v>
                </c:pt>
              </c:numCache>
            </c:numRef>
          </c:xVal>
          <c:yVal>
            <c:numRef>
              <c:f>Sheet1!$M$14:$M$46</c:f>
              <c:numCache>
                <c:formatCode>0.00</c:formatCode>
                <c:ptCount val="33"/>
                <c:pt idx="0">
                  <c:v>-25.842944402916899</c:v>
                </c:pt>
                <c:pt idx="1">
                  <c:v>-26.492738183871396</c:v>
                </c:pt>
                <c:pt idx="2">
                  <c:v>-26.902510845509401</c:v>
                </c:pt>
                <c:pt idx="3">
                  <c:v>-27.067226032557095</c:v>
                </c:pt>
                <c:pt idx="4">
                  <c:v>-26.984429466453136</c:v>
                </c:pt>
                <c:pt idx="5">
                  <c:v>-26.654801169591142</c:v>
                </c:pt>
                <c:pt idx="6">
                  <c:v>-26.082606304402702</c:v>
                </c:pt>
                <c:pt idx="7">
                  <c:v>-25.275983607040843</c:v>
                </c:pt>
                <c:pt idx="8">
                  <c:v>-24.247015460110461</c:v>
                </c:pt>
                <c:pt idx="9">
                  <c:v>-23.011540909066088</c:v>
                </c:pt>
                <c:pt idx="10">
                  <c:v>-21.588701455278564</c:v>
                </c:pt>
                <c:pt idx="11">
                  <c:v>-20.000244739200461</c:v>
                </c:pt>
                <c:pt idx="12">
                  <c:v>-18.269645831161142</c:v>
                </c:pt>
                <c:pt idx="13">
                  <c:v>-16.421131539922555</c:v>
                </c:pt>
                <c:pt idx="14">
                  <c:v>-14.478703681461781</c:v>
                </c:pt>
                <c:pt idx="15">
                  <c:v>-12.465250574136146</c:v>
                </c:pt>
                <c:pt idx="16">
                  <c:v>-10.401814857921673</c:v>
                </c:pt>
                <c:pt idx="17">
                  <c:v>-8.307056259979003</c:v>
                </c:pt>
                <c:pt idx="18">
                  <c:v>-6.196917388551439</c:v>
                </c:pt>
                <c:pt idx="19">
                  <c:v>-4.0844749848584456</c:v>
                </c:pt>
                <c:pt idx="20">
                  <c:v>-1.9799415896269004</c:v>
                </c:pt>
                <c:pt idx="21">
                  <c:v>0.10922623821196724</c:v>
                </c:pt>
                <c:pt idx="22">
                  <c:v>2.1781588056608849</c:v>
                </c:pt>
                <c:pt idx="23">
                  <c:v>4.2243864162431164</c:v>
                </c:pt>
                <c:pt idx="24">
                  <c:v>6.2476740808238675</c:v>
                </c:pt>
                <c:pt idx="25">
                  <c:v>8.2499149677274239</c:v>
                </c:pt>
                <c:pt idx="26">
                  <c:v>10.235122284279807</c:v>
                </c:pt>
                <c:pt idx="27">
                  <c:v>12.20957065850051</c:v>
                </c:pt>
                <c:pt idx="28">
                  <c:v>14.182165669603965</c:v>
                </c:pt>
                <c:pt idx="29">
                  <c:v>16.165179610315526</c:v>
                </c:pt>
                <c:pt idx="30">
                  <c:v>18.175619909165036</c:v>
                </c:pt>
                <c:pt idx="31">
                  <c:v>20.237790480801593</c:v>
                </c:pt>
                <c:pt idx="32">
                  <c:v>22.388348255117318</c:v>
                </c:pt>
              </c:numCache>
            </c:numRef>
          </c:yVal>
          <c:smooth val="1"/>
        </c:ser>
        <c:axId val="144753408"/>
        <c:axId val="144738176"/>
      </c:scatterChart>
      <c:valAx>
        <c:axId val="144753408"/>
        <c:scaling>
          <c:orientation val="minMax"/>
          <c:max val="80"/>
          <c:min val="-80"/>
        </c:scaling>
        <c:axPos val="b"/>
        <c:numFmt formatCode="General" sourceLinked="0"/>
        <c:tickLblPos val="nextTo"/>
        <c:crossAx val="144738176"/>
        <c:crosses val="autoZero"/>
        <c:crossBetween val="midCat"/>
      </c:valAx>
      <c:valAx>
        <c:axId val="144738176"/>
        <c:scaling>
          <c:orientation val="minMax"/>
        </c:scaling>
        <c:axPos val="l"/>
        <c:majorGridlines/>
        <c:numFmt formatCode="General" sourceLinked="0"/>
        <c:tickLblPos val="nextTo"/>
        <c:crossAx val="14475340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57151</xdr:colOff>
      <xdr:row>0</xdr:row>
      <xdr:rowOff>180974</xdr:rowOff>
    </xdr:from>
    <xdr:to>
      <xdr:col>22</xdr:col>
      <xdr:colOff>600075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304799</xdr:colOff>
      <xdr:row>14</xdr:row>
      <xdr:rowOff>133350</xdr:rowOff>
    </xdr:from>
    <xdr:to>
      <xdr:col>11</xdr:col>
      <xdr:colOff>485774</xdr:colOff>
      <xdr:row>36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>
      <selection activeCell="D9" sqref="D9"/>
    </sheetView>
  </sheetViews>
  <sheetFormatPr defaultRowHeight="15"/>
  <cols>
    <col min="1" max="1" width="12" bestFit="1" customWidth="1"/>
    <col min="2" max="4" width="9.140625" style="1"/>
  </cols>
  <sheetData>
    <row r="1" spans="1:13">
      <c r="B1" s="1" t="s">
        <v>1</v>
      </c>
      <c r="C1" s="1" t="s">
        <v>2</v>
      </c>
      <c r="I1" t="s">
        <v>1</v>
      </c>
      <c r="J1" t="s">
        <v>2</v>
      </c>
    </row>
    <row r="2" spans="1:13">
      <c r="A2" t="s">
        <v>0</v>
      </c>
      <c r="B2" s="1">
        <v>0</v>
      </c>
      <c r="C2" s="1">
        <v>0</v>
      </c>
      <c r="E2" t="s">
        <v>9</v>
      </c>
      <c r="I2" s="1">
        <f>B5</f>
        <v>0</v>
      </c>
      <c r="J2" s="1">
        <f>C5</f>
        <v>38.5</v>
      </c>
    </row>
    <row r="3" spans="1:13">
      <c r="A3" t="s">
        <v>3</v>
      </c>
      <c r="B3" s="1">
        <v>39.409999999999997</v>
      </c>
      <c r="C3" s="1">
        <v>61.84</v>
      </c>
      <c r="I3" s="1">
        <f>B2</f>
        <v>0</v>
      </c>
      <c r="J3" s="1">
        <f>C2</f>
        <v>0</v>
      </c>
    </row>
    <row r="4" spans="1:13">
      <c r="A4" t="s">
        <v>7</v>
      </c>
      <c r="D4" s="1">
        <f>SQRT(POWER(B3-B2,2)+POWER(C3-C2,2))</f>
        <v>73.330305467794147</v>
      </c>
      <c r="I4" s="1">
        <f>K12</f>
        <v>-17.469311307531704</v>
      </c>
      <c r="J4" s="1">
        <f>L12</f>
        <v>34.308499857040452</v>
      </c>
    </row>
    <row r="5" spans="1:13">
      <c r="A5" t="s">
        <v>4</v>
      </c>
      <c r="B5" s="1">
        <v>0</v>
      </c>
      <c r="C5" s="1">
        <v>38.5</v>
      </c>
      <c r="I5" s="1">
        <f>B12</f>
        <v>25.337087188502871</v>
      </c>
      <c r="J5" s="1">
        <f>C12</f>
        <v>53.715000000000003</v>
      </c>
    </row>
    <row r="6" spans="1:13">
      <c r="A6" t="s">
        <v>8</v>
      </c>
      <c r="D6" s="1">
        <f>SQRT(POWER(B5-B2,2)+POWER(C5-C2,2))</f>
        <v>38.5</v>
      </c>
      <c r="E6" t="s">
        <v>10</v>
      </c>
      <c r="I6" s="1">
        <f>B3</f>
        <v>39.409999999999997</v>
      </c>
      <c r="J6" s="1">
        <f>C3</f>
        <v>61.84</v>
      </c>
    </row>
    <row r="7" spans="1:13">
      <c r="A7" t="s">
        <v>5</v>
      </c>
      <c r="D7" s="1">
        <v>16.25</v>
      </c>
      <c r="I7" s="1"/>
      <c r="J7" s="1"/>
    </row>
    <row r="8" spans="1:13">
      <c r="A8" t="s">
        <v>6</v>
      </c>
      <c r="D8" s="2">
        <v>47</v>
      </c>
      <c r="E8" t="s">
        <v>11</v>
      </c>
      <c r="I8" s="1"/>
      <c r="J8" s="1"/>
    </row>
    <row r="9" spans="1:13">
      <c r="I9" s="1"/>
      <c r="J9" s="1"/>
    </row>
    <row r="10" spans="1:13">
      <c r="I10" s="1"/>
      <c r="J10" s="1"/>
    </row>
    <row r="11" spans="1:13">
      <c r="A11" s="1" t="s">
        <v>16</v>
      </c>
      <c r="B11" s="1" t="s">
        <v>17</v>
      </c>
      <c r="C11" s="1" t="s">
        <v>18</v>
      </c>
      <c r="D11" s="1" t="s">
        <v>7</v>
      </c>
      <c r="E11" s="1" t="s">
        <v>12</v>
      </c>
      <c r="F11" s="1" t="s">
        <v>13</v>
      </c>
      <c r="G11" s="1" t="s">
        <v>14</v>
      </c>
      <c r="H11" s="1" t="s">
        <v>19</v>
      </c>
      <c r="I11" s="1" t="s">
        <v>20</v>
      </c>
      <c r="J11" s="1" t="s">
        <v>15</v>
      </c>
      <c r="K11" s="1" t="s">
        <v>21</v>
      </c>
      <c r="L11" s="1" t="s">
        <v>22</v>
      </c>
      <c r="M11" s="1" t="s">
        <v>23</v>
      </c>
    </row>
    <row r="12" spans="1:13">
      <c r="A12" s="1">
        <v>60</v>
      </c>
      <c r="B12" s="1">
        <f>$B$3-$D$7*SIN(RADIANS(A12))</f>
        <v>25.337087188502871</v>
      </c>
      <c r="C12" s="1">
        <f>$C$3-$D$7*COS(RADIANS(A12))</f>
        <v>53.715000000000003</v>
      </c>
      <c r="D12" s="1">
        <f>SQRT(POWER(B12-$B$2,2)+POWER(C12-C$2,2))</f>
        <v>59.390817574754742</v>
      </c>
      <c r="E12" s="1">
        <f>(B12-$B$2)/D12</f>
        <v>0.42661623838754675</v>
      </c>
      <c r="F12" s="1">
        <f>(C12-$C$2)/D12</f>
        <v>0.9044327421893017</v>
      </c>
      <c r="G12" s="1">
        <f>(POWER($D$6,2)-POWER($D$8,2)+POWER(D12,2))/(2*D12)</f>
        <v>23.577038728864153</v>
      </c>
      <c r="H12" s="1">
        <f>$B$2+G12*E12</f>
        <v>10.058347574825532</v>
      </c>
      <c r="I12" s="1">
        <f>$C$2+G12*F12</f>
        <v>21.323845790249973</v>
      </c>
      <c r="J12" s="1">
        <f>SQRT(POWER($D$6,2)-POWER(G12,2))</f>
        <v>30.43638028375976</v>
      </c>
      <c r="K12" s="1">
        <f>H12-J12*F12</f>
        <v>-17.469311307531704</v>
      </c>
      <c r="L12" s="1">
        <f>I12+J12*E12</f>
        <v>34.308499857040452</v>
      </c>
      <c r="M12" s="1">
        <f>DEGREES(ATAN2($B$5-$B$2,$C$5-$C$2)-ATAN2(K12-$B$2,L12-$C$2))</f>
        <v>-26.984429466453136</v>
      </c>
    </row>
    <row r="13" spans="1:13">
      <c r="A13" s="1"/>
      <c r="D13"/>
    </row>
    <row r="14" spans="1:13">
      <c r="A14" s="1">
        <v>80</v>
      </c>
      <c r="B14" s="1">
        <f>$B$3-$D$7*SIN(RADIANS(A14))</f>
        <v>23.406874013551615</v>
      </c>
      <c r="C14" s="1">
        <f>$C$3-$D$7*COS(RADIANS(A14))</f>
        <v>59.018217112912382</v>
      </c>
      <c r="D14" s="1">
        <f>SQRT(POWER(B14-$B$2,2)+POWER(C14-$C$4,2))</f>
        <v>63.490406379807823</v>
      </c>
      <c r="E14" s="1">
        <f>(B14-$B$2)/D14</f>
        <v>0.36866788776762061</v>
      </c>
      <c r="F14" s="1">
        <f>(C14-$C$2)/D14</f>
        <v>0.92956118062716075</v>
      </c>
      <c r="G14" s="1">
        <f>(POWER($D$6,2)-POWER($D$8,2)+POWER(D14,2))/(2*D14)</f>
        <v>26.021897564385565</v>
      </c>
      <c r="H14" s="1">
        <f>$B$2+G14*E14</f>
        <v>9.593438010767418</v>
      </c>
      <c r="I14" s="1">
        <f>$C$2+G14*F14</f>
        <v>24.188945822109286</v>
      </c>
      <c r="J14" s="1">
        <f>SQRT(POWER($D$6,2)-POWER(G14,2))</f>
        <v>28.374475275300238</v>
      </c>
      <c r="K14" s="1">
        <f>H14-J14*F14</f>
        <v>-16.782372725816852</v>
      </c>
      <c r="L14" s="1">
        <f>I14+J14*E14</f>
        <v>34.649703688368803</v>
      </c>
      <c r="M14" s="1">
        <f>DEGREES(ATAN2($B$5-$B$2,$C$5-$C$2)-ATAN2(K14-$B$2,L14-$C$2))</f>
        <v>-25.842944402916899</v>
      </c>
    </row>
    <row r="15" spans="1:13">
      <c r="A15">
        <v>75</v>
      </c>
      <c r="B15" s="1">
        <f t="shared" ref="B15:B46" si="0">$B$3-$D$7*SIN(RADIANS(A15))</f>
        <v>23.713705322802639</v>
      </c>
      <c r="C15" s="1">
        <f t="shared" ref="C15:C46" si="1">$C$3-$D$7*COS(RADIANS(A15))</f>
        <v>57.634190517084043</v>
      </c>
      <c r="D15" s="1">
        <f t="shared" ref="D15:D46" si="2">SQRT(POWER(B15-$B$2,2)+POWER(C15-$C$4,2))</f>
        <v>62.322064605533235</v>
      </c>
      <c r="E15" s="1">
        <f t="shared" ref="E15:E46" si="3">(B15-$B$2)/D15</f>
        <v>0.3805025631435392</v>
      </c>
      <c r="F15" s="1">
        <f t="shared" ref="F15:F46" si="4">(C15-$C$2)/D15</f>
        <v>0.92477986539565027</v>
      </c>
      <c r="G15" s="1">
        <f t="shared" ref="G15:G46" si="5">(POWER($D$6,2)-POWER($D$8,2)+POWER(D15,2))/(2*D15)</f>
        <v>25.330432782356347</v>
      </c>
      <c r="H15" s="1">
        <f t="shared" ref="H15:H46" si="6">$B$2+G15*E15</f>
        <v>9.6382945992217213</v>
      </c>
      <c r="I15" s="1">
        <f t="shared" ref="I15:I46" si="7">$C$2+G15*F15</f>
        <v>23.425074218881068</v>
      </c>
      <c r="J15" s="1">
        <f t="shared" ref="J15:J46" si="8">SQRT(POWER($D$6,2)-POWER(G15,2))</f>
        <v>28.99343330926034</v>
      </c>
      <c r="K15" s="1">
        <f t="shared" ref="K15:K46" si="9">H15-J15*F15</f>
        <v>-17.174248753873819</v>
      </c>
      <c r="L15" s="1">
        <f t="shared" ref="L15:L46" si="10">I15+J15*E15</f>
        <v>34.457149907385897</v>
      </c>
      <c r="M15" s="1">
        <f t="shared" ref="M15:M46" si="11">DEGREES(ATAN2($B$5-$B$2,$C$5-$C$2)-ATAN2(K15-$B$2,L15-$C$2))</f>
        <v>-26.492738183871396</v>
      </c>
    </row>
    <row r="16" spans="1:13">
      <c r="A16" s="1">
        <v>70</v>
      </c>
      <c r="B16" s="1">
        <f t="shared" si="0"/>
        <v>24.139994912228985</v>
      </c>
      <c r="C16" s="1">
        <f t="shared" si="1"/>
        <v>56.282172670957884</v>
      </c>
      <c r="D16" s="1">
        <f t="shared" si="2"/>
        <v>61.240691659434738</v>
      </c>
      <c r="E16" s="1">
        <f t="shared" si="3"/>
        <v>0.39418227093961927</v>
      </c>
      <c r="F16" s="1">
        <f t="shared" si="4"/>
        <v>0.91903228304390083</v>
      </c>
      <c r="G16" s="1">
        <f t="shared" si="5"/>
        <v>24.686791028919846</v>
      </c>
      <c r="H16" s="1">
        <f t="shared" si="6"/>
        <v>9.7310953499914454</v>
      </c>
      <c r="I16" s="1">
        <f t="shared" si="7"/>
        <v>22.687957920335894</v>
      </c>
      <c r="J16" s="1">
        <f t="shared" si="8"/>
        <v>29.543397717500991</v>
      </c>
      <c r="K16" s="1">
        <f t="shared" si="9"/>
        <v>-17.42024090319746</v>
      </c>
      <c r="L16" s="1">
        <f t="shared" si="10"/>
        <v>34.333441523892802</v>
      </c>
      <c r="M16" s="1">
        <f t="shared" si="11"/>
        <v>-26.902510845509401</v>
      </c>
    </row>
    <row r="17" spans="1:13">
      <c r="A17" s="1">
        <v>65</v>
      </c>
      <c r="B17" s="1">
        <f t="shared" si="0"/>
        <v>24.682498460654436</v>
      </c>
      <c r="C17" s="1">
        <f t="shared" si="1"/>
        <v>54.972453246713641</v>
      </c>
      <c r="D17" s="1">
        <f t="shared" si="2"/>
        <v>60.259408777570378</v>
      </c>
      <c r="E17" s="1">
        <f t="shared" si="3"/>
        <v>0.4096040595380302</v>
      </c>
      <c r="F17" s="1">
        <f t="shared" si="4"/>
        <v>0.91226340188016186</v>
      </c>
      <c r="G17" s="1">
        <f t="shared" si="5"/>
        <v>24.099525743301125</v>
      </c>
      <c r="H17" s="1">
        <f t="shared" si="6"/>
        <v>9.8712635773974053</v>
      </c>
      <c r="I17" s="1">
        <f t="shared" si="7"/>
        <v>21.985115338282419</v>
      </c>
      <c r="J17" s="1">
        <f t="shared" si="8"/>
        <v>30.024371083304416</v>
      </c>
      <c r="K17" s="1">
        <f t="shared" si="9"/>
        <v>-17.518871326370245</v>
      </c>
      <c r="L17" s="1">
        <f t="shared" si="10"/>
        <v>34.283219619080157</v>
      </c>
      <c r="M17" s="1">
        <f t="shared" si="11"/>
        <v>-27.067226032557095</v>
      </c>
    </row>
    <row r="18" spans="1:13">
      <c r="A18">
        <v>60</v>
      </c>
      <c r="B18" s="1">
        <f t="shared" si="0"/>
        <v>25.337087188502871</v>
      </c>
      <c r="C18" s="1">
        <f t="shared" si="1"/>
        <v>53.715000000000003</v>
      </c>
      <c r="D18" s="1">
        <f t="shared" si="2"/>
        <v>59.390817574754742</v>
      </c>
      <c r="E18" s="1">
        <f t="shared" si="3"/>
        <v>0.42661623838754675</v>
      </c>
      <c r="F18" s="1">
        <f t="shared" si="4"/>
        <v>0.9044327421893017</v>
      </c>
      <c r="G18" s="1">
        <f t="shared" si="5"/>
        <v>23.577038728864153</v>
      </c>
      <c r="H18" s="1">
        <f t="shared" si="6"/>
        <v>10.058347574825532</v>
      </c>
      <c r="I18" s="1">
        <f t="shared" si="7"/>
        <v>21.323845790249973</v>
      </c>
      <c r="J18" s="1">
        <f t="shared" si="8"/>
        <v>30.43638028375976</v>
      </c>
      <c r="K18" s="1">
        <f t="shared" si="9"/>
        <v>-17.469311307531704</v>
      </c>
      <c r="L18" s="1">
        <f t="shared" si="10"/>
        <v>34.308499857040452</v>
      </c>
      <c r="M18" s="1">
        <f t="shared" si="11"/>
        <v>-26.984429466453136</v>
      </c>
    </row>
    <row r="19" spans="1:13">
      <c r="A19" s="1">
        <v>55</v>
      </c>
      <c r="B19" s="1">
        <f t="shared" si="0"/>
        <v>26.09877928030388</v>
      </c>
      <c r="C19" s="1">
        <f t="shared" si="1"/>
        <v>52.519382909295501</v>
      </c>
      <c r="D19" s="1">
        <f t="shared" si="2"/>
        <v>58.646669650502915</v>
      </c>
      <c r="E19" s="1">
        <f t="shared" si="3"/>
        <v>0.44501724370430767</v>
      </c>
      <c r="F19" s="1">
        <f t="shared" si="4"/>
        <v>0.89552200017968331</v>
      </c>
      <c r="G19" s="1">
        <f t="shared" si="5"/>
        <v>23.127330820838498</v>
      </c>
      <c r="H19" s="1">
        <f t="shared" si="6"/>
        <v>10.292061016127231</v>
      </c>
      <c r="I19" s="1">
        <f t="shared" si="7"/>
        <v>20.711033555494527</v>
      </c>
      <c r="J19" s="1">
        <f t="shared" si="8"/>
        <v>30.77948292456346</v>
      </c>
      <c r="K19" s="1">
        <f t="shared" si="9"/>
        <v>-17.271643096974248</v>
      </c>
      <c r="L19" s="1">
        <f t="shared" si="10"/>
        <v>34.408434209227565</v>
      </c>
      <c r="M19" s="1">
        <f t="shared" si="11"/>
        <v>-26.654801169591142</v>
      </c>
    </row>
    <row r="20" spans="1:13">
      <c r="A20" s="1">
        <v>50</v>
      </c>
      <c r="B20" s="1">
        <f t="shared" si="0"/>
        <v>26.961777799316604</v>
      </c>
      <c r="C20" s="1">
        <f t="shared" si="1"/>
        <v>51.394701342593741</v>
      </c>
      <c r="D20" s="1">
        <f t="shared" si="2"/>
        <v>58.037511905612632</v>
      </c>
      <c r="E20" s="1">
        <f t="shared" si="3"/>
        <v>0.46455778192498998</v>
      </c>
      <c r="F20" s="1">
        <f t="shared" si="4"/>
        <v>0.88554280938469232</v>
      </c>
      <c r="G20" s="1">
        <f t="shared" si="5"/>
        <v>22.757719115269882</v>
      </c>
      <c r="H20" s="1">
        <f t="shared" si="6"/>
        <v>10.572275513861722</v>
      </c>
      <c r="I20" s="1">
        <f t="shared" si="7"/>
        <v>20.152934520523807</v>
      </c>
      <c r="J20" s="1">
        <f t="shared" si="8"/>
        <v>31.053763389812833</v>
      </c>
      <c r="K20" s="1">
        <f t="shared" si="9"/>
        <v>-16.927161360320639</v>
      </c>
      <c r="L20" s="1">
        <f t="shared" si="10"/>
        <v>34.579201961318716</v>
      </c>
      <c r="M20" s="1">
        <f t="shared" si="11"/>
        <v>-26.082606304402702</v>
      </c>
    </row>
    <row r="21" spans="1:13">
      <c r="A21">
        <v>45</v>
      </c>
      <c r="B21" s="1">
        <f t="shared" si="0"/>
        <v>27.919514805718599</v>
      </c>
      <c r="C21" s="1">
        <f t="shared" si="1"/>
        <v>50.349514805718606</v>
      </c>
      <c r="D21" s="1">
        <f t="shared" si="2"/>
        <v>57.572327972368953</v>
      </c>
      <c r="E21" s="1">
        <f t="shared" si="3"/>
        <v>0.48494677545639958</v>
      </c>
      <c r="F21" s="1">
        <f t="shared" si="4"/>
        <v>0.87454366670535122</v>
      </c>
      <c r="G21" s="1">
        <f t="shared" si="5"/>
        <v>22.474538022850201</v>
      </c>
      <c r="H21" s="1">
        <f t="shared" si="6"/>
        <v>10.898954744053452</v>
      </c>
      <c r="I21" s="1">
        <f t="shared" si="7"/>
        <v>19.654964890012248</v>
      </c>
      <c r="J21" s="1">
        <f t="shared" si="8"/>
        <v>31.259320860496324</v>
      </c>
      <c r="K21" s="1">
        <f t="shared" si="9"/>
        <v>-16.438686340004079</v>
      </c>
      <c r="L21" s="1">
        <f t="shared" si="10"/>
        <v>34.814071744266904</v>
      </c>
      <c r="M21" s="1">
        <f t="shared" si="11"/>
        <v>-25.275983607040843</v>
      </c>
    </row>
    <row r="22" spans="1:13">
      <c r="A22" s="1">
        <v>40</v>
      </c>
      <c r="B22" s="1">
        <f t="shared" si="0"/>
        <v>28.964701342593735</v>
      </c>
      <c r="C22" s="1">
        <f t="shared" si="1"/>
        <v>49.391777799316614</v>
      </c>
      <c r="D22" s="1">
        <f t="shared" si="2"/>
        <v>57.258201491513134</v>
      </c>
      <c r="E22" s="1">
        <f t="shared" si="3"/>
        <v>0.50586117950084253</v>
      </c>
      <c r="F22" s="1">
        <f t="shared" si="4"/>
        <v>0.86261490079526004</v>
      </c>
      <c r="G22" s="1">
        <f t="shared" si="5"/>
        <v>22.28284832192066</v>
      </c>
      <c r="H22" s="1">
        <f t="shared" si="6"/>
        <v>11.272027934765156</v>
      </c>
      <c r="I22" s="1">
        <f t="shared" si="7"/>
        <v>19.221516994649416</v>
      </c>
      <c r="J22" s="1">
        <f t="shared" si="8"/>
        <v>31.396252493924774</v>
      </c>
      <c r="K22" s="1">
        <f t="shared" si="9"/>
        <v>-15.810847295624697</v>
      </c>
      <c r="L22" s="1">
        <f t="shared" si="10"/>
        <v>35.103662313132475</v>
      </c>
      <c r="M22" s="1">
        <f t="shared" si="11"/>
        <v>-24.247015460110461</v>
      </c>
    </row>
    <row r="23" spans="1:13">
      <c r="A23" s="1">
        <v>35</v>
      </c>
      <c r="B23" s="1">
        <f t="shared" si="0"/>
        <v>30.089382909295498</v>
      </c>
      <c r="C23" s="1">
        <f t="shared" si="1"/>
        <v>48.528779280303887</v>
      </c>
      <c r="D23" s="1">
        <f t="shared" si="2"/>
        <v>57.100029617318555</v>
      </c>
      <c r="E23" s="1">
        <f t="shared" si="3"/>
        <v>0.52695914714848635</v>
      </c>
      <c r="F23" s="1">
        <f t="shared" si="4"/>
        <v>0.84989061486554829</v>
      </c>
      <c r="G23" s="1">
        <f t="shared" si="5"/>
        <v>22.186182732996262</v>
      </c>
      <c r="H23" s="1">
        <f t="shared" si="6"/>
        <v>11.691211931460185</v>
      </c>
      <c r="I23" s="1">
        <f t="shared" si="7"/>
        <v>18.855828484465604</v>
      </c>
      <c r="J23" s="1">
        <f t="shared" si="8"/>
        <v>31.464635636506241</v>
      </c>
      <c r="K23" s="1">
        <f t="shared" si="9"/>
        <v>-15.050286596170547</v>
      </c>
      <c r="L23" s="1">
        <f t="shared" si="10"/>
        <v>35.436406044816806</v>
      </c>
      <c r="M23" s="1">
        <f t="shared" si="11"/>
        <v>-23.011540909066088</v>
      </c>
    </row>
    <row r="24" spans="1:13">
      <c r="A24">
        <v>30</v>
      </c>
      <c r="B24" s="1">
        <f t="shared" si="0"/>
        <v>31.284999999999997</v>
      </c>
      <c r="C24" s="1">
        <f t="shared" si="1"/>
        <v>47.76708718850287</v>
      </c>
      <c r="D24" s="1">
        <f t="shared" si="2"/>
        <v>57.100313864934527</v>
      </c>
      <c r="E24" s="1">
        <f t="shared" si="3"/>
        <v>0.54789541216886739</v>
      </c>
      <c r="F24" s="1">
        <f t="shared" si="4"/>
        <v>0.83654684108202038</v>
      </c>
      <c r="G24" s="1">
        <f t="shared" si="5"/>
        <v>22.186356536211477</v>
      </c>
      <c r="H24" s="1">
        <f t="shared" si="6"/>
        <v>12.155802958933032</v>
      </c>
      <c r="I24" s="1">
        <f t="shared" si="7"/>
        <v>18.559926475487146</v>
      </c>
      <c r="J24" s="1">
        <f t="shared" si="8"/>
        <v>31.464513084554579</v>
      </c>
      <c r="K24" s="1">
        <f t="shared" si="9"/>
        <v>-14.165736068134999</v>
      </c>
      <c r="L24" s="1">
        <f t="shared" si="10"/>
        <v>35.799188840641897</v>
      </c>
      <c r="M24" s="1">
        <f t="shared" si="11"/>
        <v>-21.588701455278564</v>
      </c>
    </row>
    <row r="25" spans="1:13">
      <c r="A25" s="1">
        <v>25</v>
      </c>
      <c r="B25" s="1">
        <f t="shared" si="0"/>
        <v>32.542453246713634</v>
      </c>
      <c r="C25" s="1">
        <f t="shared" si="1"/>
        <v>47.112498460654443</v>
      </c>
      <c r="D25" s="1">
        <f t="shared" si="2"/>
        <v>57.259049717225572</v>
      </c>
      <c r="E25" s="1">
        <f t="shared" si="3"/>
        <v>0.56833729178924353</v>
      </c>
      <c r="F25" s="1">
        <f t="shared" si="4"/>
        <v>0.82279567497749295</v>
      </c>
      <c r="G25" s="1">
        <f t="shared" si="5"/>
        <v>22.283366447068563</v>
      </c>
      <c r="H25" s="1">
        <f t="shared" si="6"/>
        <v>12.664468138474245</v>
      </c>
      <c r="I25" s="1">
        <f t="shared" si="7"/>
        <v>18.334657536586597</v>
      </c>
      <c r="J25" s="1">
        <f t="shared" si="8"/>
        <v>31.395884758765103</v>
      </c>
      <c r="K25" s="1">
        <f t="shared" si="9"/>
        <v>-13.167930053129471</v>
      </c>
      <c r="L25" s="1">
        <f t="shared" si="10"/>
        <v>36.178109653710344</v>
      </c>
      <c r="M25" s="1">
        <f t="shared" si="11"/>
        <v>-20.000244739200461</v>
      </c>
    </row>
    <row r="26" spans="1:13">
      <c r="A26" s="1">
        <v>20</v>
      </c>
      <c r="B26" s="1">
        <f t="shared" si="0"/>
        <v>33.852172670957877</v>
      </c>
      <c r="C26" s="1">
        <f t="shared" si="1"/>
        <v>46.569994912228992</v>
      </c>
      <c r="D26" s="1">
        <f t="shared" si="2"/>
        <v>57.573726826299698</v>
      </c>
      <c r="E26" s="1">
        <f t="shared" si="3"/>
        <v>0.58797952706952772</v>
      </c>
      <c r="F26" s="1">
        <f t="shared" si="4"/>
        <v>0.8088758098417177</v>
      </c>
      <c r="G26" s="1">
        <f t="shared" si="5"/>
        <v>22.475390801757076</v>
      </c>
      <c r="H26" s="1">
        <f t="shared" si="6"/>
        <v>13.215069654319938</v>
      </c>
      <c r="I26" s="1">
        <f t="shared" si="7"/>
        <v>18.179799936280347</v>
      </c>
      <c r="J26" s="1">
        <f t="shared" si="8"/>
        <v>31.258707719742567</v>
      </c>
      <c r="K26" s="1">
        <f t="shared" si="9"/>
        <v>-12.069342867092383</v>
      </c>
      <c r="L26" s="1">
        <f t="shared" si="10"/>
        <v>36.559280118139178</v>
      </c>
      <c r="M26" s="1">
        <f t="shared" si="11"/>
        <v>-18.269645831161142</v>
      </c>
    </row>
    <row r="27" spans="1:13">
      <c r="A27">
        <v>15</v>
      </c>
      <c r="B27" s="1">
        <f t="shared" si="0"/>
        <v>35.204190517084037</v>
      </c>
      <c r="C27" s="1">
        <f t="shared" si="1"/>
        <v>46.143705322802646</v>
      </c>
      <c r="D27" s="1">
        <f t="shared" si="2"/>
        <v>58.039439787792531</v>
      </c>
      <c r="E27" s="1">
        <f t="shared" si="3"/>
        <v>0.60655634592270058</v>
      </c>
      <c r="F27" s="1">
        <f t="shared" si="4"/>
        <v>0.79504050162296847</v>
      </c>
      <c r="G27" s="1">
        <f t="shared" si="5"/>
        <v>22.758891027721909</v>
      </c>
      <c r="H27" s="1">
        <f t="shared" si="6"/>
        <v>13.804549779027937</v>
      </c>
      <c r="I27" s="1">
        <f t="shared" si="7"/>
        <v>18.094240139062503</v>
      </c>
      <c r="J27" s="1">
        <f t="shared" si="8"/>
        <v>31.052904520966784</v>
      </c>
      <c r="K27" s="1">
        <f t="shared" si="9"/>
        <v>-10.883767008171642</v>
      </c>
      <c r="L27" s="1">
        <f t="shared" si="10"/>
        <v>36.929576435586625</v>
      </c>
      <c r="M27" s="1">
        <f t="shared" si="11"/>
        <v>-16.421131539922555</v>
      </c>
    </row>
    <row r="28" spans="1:13">
      <c r="A28" s="1">
        <v>10</v>
      </c>
      <c r="B28" s="1">
        <f t="shared" si="0"/>
        <v>36.588217112912382</v>
      </c>
      <c r="C28" s="1">
        <f t="shared" si="1"/>
        <v>45.836874013551622</v>
      </c>
      <c r="D28" s="1">
        <f t="shared" si="2"/>
        <v>58.649097613141656</v>
      </c>
      <c r="E28" s="1">
        <f t="shared" si="3"/>
        <v>0.62384961750398638</v>
      </c>
      <c r="F28" s="1">
        <f t="shared" si="4"/>
        <v>0.78154440356267019</v>
      </c>
      <c r="G28" s="1">
        <f t="shared" si="5"/>
        <v>23.128801305102407</v>
      </c>
      <c r="H28" s="1">
        <f t="shared" si="6"/>
        <v>14.428893847513837</v>
      </c>
      <c r="I28" s="1">
        <f t="shared" si="7"/>
        <v>18.076185221115768</v>
      </c>
      <c r="J28" s="1">
        <f t="shared" si="8"/>
        <v>30.778377965531146</v>
      </c>
      <c r="K28" s="1">
        <f t="shared" si="9"/>
        <v>-9.6257752021836325</v>
      </c>
      <c r="L28" s="1">
        <f t="shared" si="10"/>
        <v>37.277264542305495</v>
      </c>
      <c r="M28" s="1">
        <f t="shared" si="11"/>
        <v>-14.478703681461781</v>
      </c>
    </row>
    <row r="29" spans="1:13">
      <c r="A29" s="1">
        <v>5</v>
      </c>
      <c r="B29" s="1">
        <f t="shared" si="0"/>
        <v>37.993719180350553</v>
      </c>
      <c r="C29" s="1">
        <f t="shared" si="1"/>
        <v>45.651836156009139</v>
      </c>
      <c r="D29" s="1">
        <f t="shared" si="2"/>
        <v>59.393710454646971</v>
      </c>
      <c r="E29" s="1">
        <f t="shared" si="3"/>
        <v>0.63969263562616707</v>
      </c>
      <c r="F29" s="1">
        <f t="shared" si="4"/>
        <v>0.76863081640384923</v>
      </c>
      <c r="G29" s="1">
        <f t="shared" si="5"/>
        <v>23.5787831752756</v>
      </c>
      <c r="H29" s="1">
        <f t="shared" si="6"/>
        <v>15.083173954249974</v>
      </c>
      <c r="I29" s="1">
        <f t="shared" si="7"/>
        <v>18.123379361821428</v>
      </c>
      <c r="J29" s="1">
        <f t="shared" si="8"/>
        <v>30.435028897199036</v>
      </c>
      <c r="K29" s="1">
        <f t="shared" si="9"/>
        <v>-8.3101271542788648</v>
      </c>
      <c r="L29" s="1">
        <f t="shared" si="10"/>
        <v>37.592443212429231</v>
      </c>
      <c r="M29" s="1">
        <f t="shared" si="11"/>
        <v>-12.465250574136146</v>
      </c>
    </row>
    <row r="30" spans="1:13">
      <c r="A30">
        <v>0</v>
      </c>
      <c r="B30" s="1">
        <f t="shared" si="0"/>
        <v>39.409999999999997</v>
      </c>
      <c r="C30" s="1">
        <f t="shared" si="1"/>
        <v>45.59</v>
      </c>
      <c r="D30" s="1">
        <f t="shared" si="2"/>
        <v>60.262726456741071</v>
      </c>
      <c r="E30" s="1">
        <f t="shared" si="3"/>
        <v>0.653969747424057</v>
      </c>
      <c r="F30" s="1">
        <f t="shared" si="4"/>
        <v>0.75652069995084403</v>
      </c>
      <c r="G30" s="1">
        <f t="shared" si="5"/>
        <v>24.101516565842836</v>
      </c>
      <c r="H30" s="1">
        <f t="shared" si="6"/>
        <v>15.761662701100965</v>
      </c>
      <c r="I30" s="1">
        <f t="shared" si="7"/>
        <v>18.233296182268283</v>
      </c>
      <c r="J30" s="1">
        <f t="shared" si="8"/>
        <v>30.02277301027344</v>
      </c>
      <c r="K30" s="1">
        <f t="shared" si="9"/>
        <v>-6.9511865510964075</v>
      </c>
      <c r="L30" s="1">
        <f t="shared" si="10"/>
        <v>37.867281464766599</v>
      </c>
      <c r="M30" s="1">
        <f t="shared" si="11"/>
        <v>-10.401814857921673</v>
      </c>
    </row>
    <row r="31" spans="1:13">
      <c r="A31" s="1">
        <v>-5</v>
      </c>
      <c r="B31" s="1">
        <f t="shared" si="0"/>
        <v>40.82628081964944</v>
      </c>
      <c r="C31" s="1">
        <f t="shared" si="1"/>
        <v>45.651836156009139</v>
      </c>
      <c r="D31" s="1">
        <f t="shared" si="2"/>
        <v>61.244390355198888</v>
      </c>
      <c r="E31" s="1">
        <f t="shared" si="3"/>
        <v>0.66661257599054202</v>
      </c>
      <c r="F31" s="1">
        <f t="shared" si="4"/>
        <v>0.74540436913882779</v>
      </c>
      <c r="G31" s="1">
        <f t="shared" si="5"/>
        <v>24.688998718421139</v>
      </c>
      <c r="H31" s="1">
        <f t="shared" si="6"/>
        <v>16.457997034313905</v>
      </c>
      <c r="I31" s="1">
        <f t="shared" si="7"/>
        <v>18.403287514374036</v>
      </c>
      <c r="J31" s="1">
        <f t="shared" si="8"/>
        <v>29.541552807559039</v>
      </c>
      <c r="K31" s="1">
        <f t="shared" si="9"/>
        <v>-5.5624054995860064</v>
      </c>
      <c r="L31" s="1">
        <f t="shared" si="10"/>
        <v>38.096058130181596</v>
      </c>
      <c r="M31" s="1">
        <f t="shared" si="11"/>
        <v>-8.307056259979003</v>
      </c>
    </row>
    <row r="32" spans="1:13">
      <c r="A32" s="1">
        <v>-10</v>
      </c>
      <c r="B32" s="1">
        <f t="shared" si="0"/>
        <v>42.231782887087611</v>
      </c>
      <c r="C32" s="1">
        <f t="shared" si="1"/>
        <v>45.836874013551622</v>
      </c>
      <c r="D32" s="1">
        <f t="shared" si="2"/>
        <v>62.326098106301423</v>
      </c>
      <c r="E32" s="1">
        <f t="shared" si="3"/>
        <v>0.67759388394663211</v>
      </c>
      <c r="F32" s="1">
        <f t="shared" si="4"/>
        <v>0.73543628441770414</v>
      </c>
      <c r="G32" s="1">
        <f t="shared" si="5"/>
        <v>25.332826866287046</v>
      </c>
      <c r="H32" s="1">
        <f t="shared" si="6"/>
        <v>17.16536854767503</v>
      </c>
      <c r="I32" s="1">
        <f t="shared" si="7"/>
        <v>18.630680064339138</v>
      </c>
      <c r="J32" s="1">
        <f t="shared" si="8"/>
        <v>28.99134151712758</v>
      </c>
      <c r="K32" s="1">
        <f t="shared" si="9"/>
        <v>-4.1559159379660038</v>
      </c>
      <c r="L32" s="1">
        <f t="shared" si="10"/>
        <v>38.275035763752861</v>
      </c>
      <c r="M32" s="1">
        <f t="shared" si="11"/>
        <v>-6.196917388551439</v>
      </c>
    </row>
    <row r="33" spans="1:13">
      <c r="A33">
        <v>-15</v>
      </c>
      <c r="B33" s="1">
        <f t="shared" si="0"/>
        <v>43.615809482915957</v>
      </c>
      <c r="C33" s="1">
        <f t="shared" si="1"/>
        <v>46.143705322802646</v>
      </c>
      <c r="D33" s="1">
        <f t="shared" si="2"/>
        <v>63.494727165077784</v>
      </c>
      <c r="E33" s="1">
        <f t="shared" si="3"/>
        <v>0.68692018109662389</v>
      </c>
      <c r="F33" s="1">
        <f t="shared" si="4"/>
        <v>0.7267328703190612</v>
      </c>
      <c r="G33" s="1">
        <f t="shared" si="5"/>
        <v>26.024447425181862</v>
      </c>
      <c r="H33" s="1">
        <f t="shared" si="6"/>
        <v>17.87671813824549</v>
      </c>
      <c r="I33" s="1">
        <f t="shared" si="7"/>
        <v>18.912821375769916</v>
      </c>
      <c r="J33" s="1">
        <f t="shared" si="8"/>
        <v>28.372136617004106</v>
      </c>
      <c r="K33" s="1">
        <f t="shared" si="9"/>
        <v>-2.7422461425144427</v>
      </c>
      <c r="L33" s="1">
        <f t="shared" si="10"/>
        <v>38.402214598820535</v>
      </c>
      <c r="M33" s="1">
        <f t="shared" si="11"/>
        <v>-4.0844749848584456</v>
      </c>
    </row>
    <row r="34" spans="1:13">
      <c r="A34" s="1">
        <v>-20</v>
      </c>
      <c r="B34" s="1">
        <f t="shared" si="0"/>
        <v>44.967827329042116</v>
      </c>
      <c r="C34" s="1">
        <f t="shared" si="1"/>
        <v>46.569994912228992</v>
      </c>
      <c r="D34" s="1">
        <f t="shared" si="2"/>
        <v>64.736928571099057</v>
      </c>
      <c r="E34" s="1">
        <f t="shared" si="3"/>
        <v>0.6946240472260744</v>
      </c>
      <c r="F34" s="1">
        <f t="shared" si="4"/>
        <v>0.7193729443169713</v>
      </c>
      <c r="G34" s="1">
        <f t="shared" si="5"/>
        <v>26.755362026598306</v>
      </c>
      <c r="H34" s="1">
        <f t="shared" si="6"/>
        <v>18.58491785591454</v>
      </c>
      <c r="I34" s="1">
        <f t="shared" si="7"/>
        <v>19.24708355734051</v>
      </c>
      <c r="J34" s="1">
        <f t="shared" si="8"/>
        <v>27.683941244440998</v>
      </c>
      <c r="K34" s="1">
        <f t="shared" si="9"/>
        <v>-1.3301604673970182</v>
      </c>
      <c r="L34" s="1">
        <f t="shared" si="10"/>
        <v>38.477014867722964</v>
      </c>
      <c r="M34" s="1">
        <f t="shared" si="11"/>
        <v>-1.9799415896269004</v>
      </c>
    </row>
    <row r="35" spans="1:13">
      <c r="A35" s="1">
        <v>-25</v>
      </c>
      <c r="B35" s="1">
        <f t="shared" si="0"/>
        <v>46.277546753286359</v>
      </c>
      <c r="C35" s="1">
        <f t="shared" si="1"/>
        <v>47.112498460654443</v>
      </c>
      <c r="D35" s="1">
        <f t="shared" si="2"/>
        <v>66.039373442725605</v>
      </c>
      <c r="E35" s="1">
        <f t="shared" si="3"/>
        <v>0.70075690214447273</v>
      </c>
      <c r="F35" s="1">
        <f t="shared" si="4"/>
        <v>0.71340014304517907</v>
      </c>
      <c r="G35" s="1">
        <f t="shared" si="5"/>
        <v>27.517287454732166</v>
      </c>
      <c r="H35" s="1">
        <f t="shared" si="6"/>
        <v>19.282929112197074</v>
      </c>
      <c r="I35" s="1">
        <f t="shared" si="7"/>
        <v>19.63083680642124</v>
      </c>
      <c r="J35" s="1">
        <f t="shared" si="8"/>
        <v>26.926731905926491</v>
      </c>
      <c r="K35" s="1">
        <f t="shared" si="9"/>
        <v>7.3394718769929312E-2</v>
      </c>
      <c r="L35" s="1">
        <f t="shared" si="10"/>
        <v>38.49993004169302</v>
      </c>
      <c r="M35" s="1">
        <f t="shared" si="11"/>
        <v>0.10922623821196724</v>
      </c>
    </row>
    <row r="36" spans="1:13">
      <c r="A36">
        <v>-30</v>
      </c>
      <c r="B36" s="1">
        <f t="shared" si="0"/>
        <v>47.534999999999997</v>
      </c>
      <c r="C36" s="1">
        <f t="shared" si="1"/>
        <v>47.76708718850287</v>
      </c>
      <c r="D36" s="1">
        <f t="shared" si="2"/>
        <v>67.388951939275884</v>
      </c>
      <c r="E36" s="1">
        <f t="shared" si="3"/>
        <v>0.70538268710327678</v>
      </c>
      <c r="F36" s="1">
        <f t="shared" si="4"/>
        <v>0.70882668173183261</v>
      </c>
      <c r="G36" s="1">
        <f t="shared" si="5"/>
        <v>28.302271616505447</v>
      </c>
      <c r="H36" s="1">
        <f t="shared" si="6"/>
        <v>19.963932403977413</v>
      </c>
      <c r="I36" s="1">
        <f t="shared" si="7"/>
        <v>20.061405275400585</v>
      </c>
      <c r="J36" s="1">
        <f t="shared" si="8"/>
        <v>26.100410367378331</v>
      </c>
      <c r="K36" s="1">
        <f t="shared" si="9"/>
        <v>1.4632651314295089</v>
      </c>
      <c r="L36" s="1">
        <f t="shared" si="10"/>
        <v>38.472182874840136</v>
      </c>
      <c r="M36" s="1">
        <f t="shared" si="11"/>
        <v>2.1781588056608849</v>
      </c>
    </row>
    <row r="37" spans="1:13">
      <c r="A37" s="1">
        <v>-35</v>
      </c>
      <c r="B37" s="1">
        <f t="shared" si="0"/>
        <v>48.730617090704499</v>
      </c>
      <c r="C37" s="1">
        <f t="shared" si="1"/>
        <v>48.528779280303887</v>
      </c>
      <c r="D37" s="1">
        <f t="shared" si="2"/>
        <v>68.772926798830611</v>
      </c>
      <c r="E37" s="1">
        <f t="shared" si="3"/>
        <v>0.70857268054401168</v>
      </c>
      <c r="F37" s="1">
        <f t="shared" si="4"/>
        <v>0.70563783656113144</v>
      </c>
      <c r="G37" s="1">
        <f t="shared" si="5"/>
        <v>29.102770863500446</v>
      </c>
      <c r="H37" s="1">
        <f t="shared" si="6"/>
        <v>20.621428362008672</v>
      </c>
      <c r="I37" s="1">
        <f t="shared" si="7"/>
        <v>20.536016270054784</v>
      </c>
      <c r="J37" s="1">
        <f t="shared" si="8"/>
        <v>25.204736222912342</v>
      </c>
      <c r="K37" s="1">
        <f t="shared" si="9"/>
        <v>2.836012822578823</v>
      </c>
      <c r="L37" s="1">
        <f t="shared" si="10"/>
        <v>38.395403777928529</v>
      </c>
      <c r="M37" s="1">
        <f t="shared" si="11"/>
        <v>4.2243864162431164</v>
      </c>
    </row>
    <row r="38" spans="1:13">
      <c r="A38" s="1">
        <v>-40</v>
      </c>
      <c r="B38" s="1">
        <f t="shared" si="0"/>
        <v>49.855298657406259</v>
      </c>
      <c r="C38" s="1">
        <f t="shared" si="1"/>
        <v>49.391777799316614</v>
      </c>
      <c r="D38" s="1">
        <f t="shared" si="2"/>
        <v>70.179046149090965</v>
      </c>
      <c r="E38" s="1">
        <f t="shared" si="3"/>
        <v>0.71040148581517926</v>
      </c>
      <c r="F38" s="1">
        <f t="shared" si="4"/>
        <v>0.70379665312616091</v>
      </c>
      <c r="G38" s="1">
        <f t="shared" si="5"/>
        <v>29.911695504361177</v>
      </c>
      <c r="H38" s="1">
        <f t="shared" si="6"/>
        <v>21.249312929549397</v>
      </c>
      <c r="I38" s="1">
        <f t="shared" si="7"/>
        <v>21.05175118529823</v>
      </c>
      <c r="J38" s="1">
        <f t="shared" si="8"/>
        <v>24.239234147439134</v>
      </c>
      <c r="K38" s="1">
        <f t="shared" si="9"/>
        <v>4.1898210622403838</v>
      </c>
      <c r="L38" s="1">
        <f t="shared" si="10"/>
        <v>38.27133913866102</v>
      </c>
      <c r="M38" s="1">
        <f t="shared" si="11"/>
        <v>6.2476740808238675</v>
      </c>
    </row>
    <row r="39" spans="1:13">
      <c r="A39">
        <v>-45</v>
      </c>
      <c r="B39" s="1">
        <f t="shared" si="0"/>
        <v>50.900485194281394</v>
      </c>
      <c r="C39" s="1">
        <f t="shared" si="1"/>
        <v>50.349514805718606</v>
      </c>
      <c r="D39" s="1">
        <f t="shared" si="2"/>
        <v>71.595621613228104</v>
      </c>
      <c r="E39" s="1">
        <f t="shared" si="3"/>
        <v>0.71094410590153956</v>
      </c>
      <c r="F39" s="1">
        <f t="shared" si="4"/>
        <v>0.70324851815262346</v>
      </c>
      <c r="G39" s="1">
        <f t="shared" si="5"/>
        <v>30.722430611397446</v>
      </c>
      <c r="H39" s="1">
        <f t="shared" si="6"/>
        <v>21.841930962142047</v>
      </c>
      <c r="I39" s="1">
        <f t="shared" si="7"/>
        <v>21.60550380151205</v>
      </c>
      <c r="J39" s="1">
        <f t="shared" si="8"/>
        <v>23.203065688134171</v>
      </c>
      <c r="K39" s="1">
        <f t="shared" si="9"/>
        <v>5.5244094003637088</v>
      </c>
      <c r="L39" s="1">
        <f t="shared" si="10"/>
        <v>38.101586591337288</v>
      </c>
      <c r="M39" s="1">
        <f t="shared" si="11"/>
        <v>8.2499149677274239</v>
      </c>
    </row>
    <row r="40" spans="1:13">
      <c r="A40" s="1">
        <v>-50</v>
      </c>
      <c r="B40" s="1">
        <f t="shared" si="0"/>
        <v>51.858222200683386</v>
      </c>
      <c r="C40" s="1">
        <f t="shared" si="1"/>
        <v>51.394701342593741</v>
      </c>
      <c r="D40" s="1">
        <f t="shared" si="2"/>
        <v>73.01157809491491</v>
      </c>
      <c r="E40" s="1">
        <f t="shared" si="3"/>
        <v>0.71027395317038344</v>
      </c>
      <c r="F40" s="1">
        <f t="shared" si="4"/>
        <v>0.70392535928727262</v>
      </c>
      <c r="G40" s="1">
        <f t="shared" si="5"/>
        <v>31.528838685863942</v>
      </c>
      <c r="H40" s="1">
        <f t="shared" si="6"/>
        <v>22.3941128922799</v>
      </c>
      <c r="I40" s="1">
        <f t="shared" si="7"/>
        <v>22.193949099857235</v>
      </c>
      <c r="J40" s="1">
        <f t="shared" si="8"/>
        <v>22.094848519977894</v>
      </c>
      <c r="K40" s="1">
        <f t="shared" si="9"/>
        <v>6.840988709456596</v>
      </c>
      <c r="L40" s="1">
        <f t="shared" si="10"/>
        <v>37.88734450284273</v>
      </c>
      <c r="M40" s="1">
        <f t="shared" si="11"/>
        <v>10.235122284279807</v>
      </c>
    </row>
    <row r="41" spans="1:13">
      <c r="A41" s="1">
        <v>-55</v>
      </c>
      <c r="B41" s="1">
        <f t="shared" si="0"/>
        <v>52.721220719696113</v>
      </c>
      <c r="C41" s="1">
        <f t="shared" si="1"/>
        <v>52.519382909295501</v>
      </c>
      <c r="D41" s="1">
        <f t="shared" si="2"/>
        <v>74.416481342160452</v>
      </c>
      <c r="E41" s="1">
        <f t="shared" si="3"/>
        <v>0.70846161722278378</v>
      </c>
      <c r="F41" s="1">
        <f t="shared" si="4"/>
        <v>0.70574934425904912</v>
      </c>
      <c r="G41" s="1">
        <f t="shared" si="5"/>
        <v>32.32524978725661</v>
      </c>
      <c r="H41" s="1">
        <f t="shared" si="6"/>
        <v>22.901198741410266</v>
      </c>
      <c r="I41" s="1">
        <f t="shared" si="7"/>
        <v>22.813523840366319</v>
      </c>
      <c r="J41" s="1">
        <f t="shared" si="8"/>
        <v>20.912394080818832</v>
      </c>
      <c r="K41" s="1">
        <f t="shared" si="9"/>
        <v>8.1422903319855546</v>
      </c>
      <c r="L41" s="1">
        <f t="shared" si="10"/>
        <v>37.629152370863395</v>
      </c>
      <c r="M41" s="1">
        <f t="shared" si="11"/>
        <v>12.20957065850051</v>
      </c>
    </row>
    <row r="42" spans="1:13">
      <c r="A42">
        <v>-60</v>
      </c>
      <c r="B42" s="1">
        <f t="shared" si="0"/>
        <v>53.482912811497123</v>
      </c>
      <c r="C42" s="1">
        <f t="shared" si="1"/>
        <v>53.715000000000003</v>
      </c>
      <c r="D42" s="1">
        <f t="shared" si="2"/>
        <v>75.800548730218324</v>
      </c>
      <c r="E42" s="1">
        <f t="shared" si="3"/>
        <v>0.70557421690769173</v>
      </c>
      <c r="F42" s="1">
        <f t="shared" si="4"/>
        <v>0.70863603100258576</v>
      </c>
      <c r="G42" s="1">
        <f t="shared" si="5"/>
        <v>33.106443633180191</v>
      </c>
      <c r="H42" s="1">
        <f t="shared" si="6"/>
        <v>23.359053041079751</v>
      </c>
      <c r="I42" s="1">
        <f t="shared" si="7"/>
        <v>23.460418816827637</v>
      </c>
      <c r="J42" s="1">
        <f t="shared" si="8"/>
        <v>19.65231258562368</v>
      </c>
      <c r="K42" s="1">
        <f t="shared" si="9"/>
        <v>9.4327162503812225</v>
      </c>
      <c r="L42" s="1">
        <f t="shared" si="10"/>
        <v>37.32658387985424</v>
      </c>
      <c r="M42" s="1">
        <f t="shared" si="11"/>
        <v>14.182165669603965</v>
      </c>
    </row>
    <row r="43" spans="1:13">
      <c r="A43" s="1">
        <v>-65</v>
      </c>
      <c r="B43" s="1">
        <f t="shared" si="0"/>
        <v>54.137501539345557</v>
      </c>
      <c r="C43" s="1">
        <f t="shared" si="1"/>
        <v>54.972453246713641</v>
      </c>
      <c r="D43" s="1">
        <f t="shared" si="2"/>
        <v>77.154647876098565</v>
      </c>
      <c r="E43" s="1">
        <f t="shared" si="3"/>
        <v>0.70167518133559648</v>
      </c>
      <c r="F43" s="1">
        <f t="shared" si="4"/>
        <v>0.71249697536035728</v>
      </c>
      <c r="G43" s="1">
        <f t="shared" si="5"/>
        <v>33.867627114812684</v>
      </c>
      <c r="H43" s="1">
        <f t="shared" si="6"/>
        <v>23.764073397192554</v>
      </c>
      <c r="I43" s="1">
        <f t="shared" si="7"/>
        <v>24.130581881936461</v>
      </c>
      <c r="J43" s="1">
        <f t="shared" si="8"/>
        <v>18.309391950908818</v>
      </c>
      <c r="K43" s="1">
        <f t="shared" si="9"/>
        <v>10.71868701148275</v>
      </c>
      <c r="L43" s="1">
        <f t="shared" si="10"/>
        <v>36.977827799234916</v>
      </c>
      <c r="M43" s="1">
        <f t="shared" si="11"/>
        <v>16.165179610315526</v>
      </c>
    </row>
    <row r="44" spans="1:13">
      <c r="A44" s="1">
        <v>-70</v>
      </c>
      <c r="B44" s="1">
        <f t="shared" si="0"/>
        <v>54.680005087771008</v>
      </c>
      <c r="C44" s="1">
        <f t="shared" si="1"/>
        <v>56.282172670957884</v>
      </c>
      <c r="D44" s="1">
        <f t="shared" si="2"/>
        <v>78.470286841340027</v>
      </c>
      <c r="E44" s="1">
        <f t="shared" si="3"/>
        <v>0.69682433044152292</v>
      </c>
      <c r="F44" s="1">
        <f t="shared" si="4"/>
        <v>0.71724183683379994</v>
      </c>
      <c r="G44" s="1">
        <f t="shared" si="5"/>
        <v>34.604409742651072</v>
      </c>
      <c r="H44" s="1">
        <f t="shared" si="6"/>
        <v>24.113194649246946</v>
      </c>
      <c r="I44" s="1">
        <f t="shared" si="7"/>
        <v>24.819730406368496</v>
      </c>
      <c r="J44" s="1">
        <f t="shared" si="8"/>
        <v>16.875568919675437</v>
      </c>
      <c r="K44" s="1">
        <f t="shared" si="9"/>
        <v>12.009330599683551</v>
      </c>
      <c r="L44" s="1">
        <f t="shared" si="10"/>
        <v>36.579037419641111</v>
      </c>
      <c r="M44" s="1">
        <f t="shared" si="11"/>
        <v>18.175619909165036</v>
      </c>
    </row>
    <row r="45" spans="1:13">
      <c r="A45">
        <v>-75</v>
      </c>
      <c r="B45" s="1">
        <f t="shared" si="0"/>
        <v>55.106294677197354</v>
      </c>
      <c r="C45" s="1">
        <f t="shared" si="1"/>
        <v>57.634190517084043</v>
      </c>
      <c r="D45" s="1">
        <f t="shared" si="2"/>
        <v>79.739598880416054</v>
      </c>
      <c r="E45" s="1">
        <f t="shared" si="3"/>
        <v>0.69107815252292915</v>
      </c>
      <c r="F45" s="1">
        <f t="shared" si="4"/>
        <v>0.72278004061090062</v>
      </c>
      <c r="G45" s="1">
        <f t="shared" si="5"/>
        <v>35.312778774165466</v>
      </c>
      <c r="H45" s="1">
        <f t="shared" si="6"/>
        <v>24.403889915701178</v>
      </c>
      <c r="I45" s="1">
        <f t="shared" si="7"/>
        <v>25.523371676475065</v>
      </c>
      <c r="J45" s="1">
        <f t="shared" si="8"/>
        <v>15.338111202062953</v>
      </c>
      <c r="K45" s="1">
        <f t="shared" si="9"/>
        <v>13.317809278179608</v>
      </c>
      <c r="L45" s="1">
        <f t="shared" si="10"/>
        <v>36.123205229187974</v>
      </c>
      <c r="M45" s="1">
        <f t="shared" si="11"/>
        <v>20.237790480801593</v>
      </c>
    </row>
    <row r="46" spans="1:13">
      <c r="A46" s="1">
        <v>-80</v>
      </c>
      <c r="B46" s="1">
        <f t="shared" si="0"/>
        <v>55.413125986448378</v>
      </c>
      <c r="C46" s="1">
        <f t="shared" si="1"/>
        <v>59.018217112912382</v>
      </c>
      <c r="D46" s="1">
        <f t="shared" si="2"/>
        <v>80.955323992785452</v>
      </c>
      <c r="E46" s="1">
        <f t="shared" si="3"/>
        <v>0.68449020093337731</v>
      </c>
      <c r="F46" s="1">
        <f t="shared" si="4"/>
        <v>0.72902206058951657</v>
      </c>
      <c r="G46" s="1">
        <f t="shared" si="5"/>
        <v>35.989075179886584</v>
      </c>
      <c r="H46" s="1">
        <f t="shared" si="6"/>
        <v>24.634169301286988</v>
      </c>
      <c r="I46" s="1">
        <f t="shared" si="7"/>
        <v>26.236829746351944</v>
      </c>
      <c r="J46" s="1">
        <f t="shared" si="8"/>
        <v>13.67612765721611</v>
      </c>
      <c r="K46" s="1">
        <f t="shared" si="9"/>
        <v>14.663970535738022</v>
      </c>
      <c r="L46" s="1">
        <f t="shared" si="10"/>
        <v>35.598005114430322</v>
      </c>
      <c r="M46" s="1">
        <f t="shared" si="11"/>
        <v>22.388348255117318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Shatwell</dc:creator>
  <cp:lastModifiedBy>Ian Shatwell</cp:lastModifiedBy>
  <dcterms:created xsi:type="dcterms:W3CDTF">2022-09-20T08:35:32Z</dcterms:created>
  <dcterms:modified xsi:type="dcterms:W3CDTF">2022-09-20T09:46:52Z</dcterms:modified>
</cp:coreProperties>
</file>